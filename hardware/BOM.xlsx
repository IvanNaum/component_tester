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umov\Documents\component_tester\hardware\"/>
    </mc:Choice>
  </mc:AlternateContent>
  <bookViews>
    <workbookView xWindow="0" yWindow="0" windowWidth="17256" windowHeight="8304"/>
  </bookViews>
  <sheets>
    <sheet name="BOM" sheetId="1" r:id="rId1"/>
    <sheet name="Лист1" sheetId="2" r:id="rId2"/>
  </sheets>
  <definedNames>
    <definedName name="_xlnm._FilterDatabase" localSheetId="0" hidden="1">BOM!$A$1:$J$24</definedName>
    <definedName name="_xlnm.Print_Titles" localSheetId="0">BOM!$1:$1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9" i="1"/>
  <c r="H13" i="1" l="1"/>
  <c r="H5" i="1"/>
  <c r="H3" i="1"/>
  <c r="H4" i="1"/>
  <c r="H6" i="1"/>
  <c r="H7" i="1"/>
  <c r="H10" i="1"/>
  <c r="H23" i="1"/>
  <c r="H22" i="1"/>
  <c r="H24" i="1"/>
  <c r="H15" i="1"/>
  <c r="H14" i="1"/>
  <c r="H18" i="1"/>
  <c r="H19" i="1"/>
  <c r="H21" i="1"/>
  <c r="H17" i="1"/>
  <c r="H20" i="1"/>
  <c r="H16" i="1"/>
  <c r="H12" i="1"/>
  <c r="H8" i="1"/>
  <c r="H2" i="1"/>
</calcChain>
</file>

<file path=xl/sharedStrings.xml><?xml version="1.0" encoding="utf-8"?>
<sst xmlns="http://schemas.openxmlformats.org/spreadsheetml/2006/main" count="191" uniqueCount="110">
  <si>
    <t>Comment</t>
  </si>
  <si>
    <t>Designator</t>
  </si>
  <si>
    <t>Footprint</t>
  </si>
  <si>
    <t>Quantity</t>
  </si>
  <si>
    <t>8MHz</t>
  </si>
  <si>
    <t>BQ1</t>
  </si>
  <si>
    <t>Crystal Resonator</t>
  </si>
  <si>
    <t>10мк</t>
  </si>
  <si>
    <t>C1, C13</t>
  </si>
  <si>
    <t>C SMD 0603</t>
  </si>
  <si>
    <t>1мк</t>
  </si>
  <si>
    <t>C2, C12</t>
  </si>
  <si>
    <t>0.1мк</t>
  </si>
  <si>
    <t>C3, C7, C8, C9, C10, C11</t>
  </si>
  <si>
    <t>22мк</t>
  </si>
  <si>
    <t>C4</t>
  </si>
  <si>
    <t>22п</t>
  </si>
  <si>
    <t>C5, C6</t>
  </si>
  <si>
    <t>Stabilizer</t>
  </si>
  <si>
    <t>DA1</t>
  </si>
  <si>
    <t>SOT230P695X180-4N</t>
  </si>
  <si>
    <t>OpAmp LM358DR [SOIC-14]</t>
  </si>
  <si>
    <t>DA2</t>
  </si>
  <si>
    <t>SOP127P600X175-14N</t>
  </si>
  <si>
    <t>STM32F103C8T6 [LQFP-48]</t>
  </si>
  <si>
    <t>DD1</t>
  </si>
  <si>
    <t>STM32 [LQFP-48]</t>
  </si>
  <si>
    <t>LED</t>
  </si>
  <si>
    <t>Led 1206</t>
  </si>
  <si>
    <t>10к</t>
  </si>
  <si>
    <t>R1, R12</t>
  </si>
  <si>
    <t>R_SMD_1206</t>
  </si>
  <si>
    <t>20</t>
  </si>
  <si>
    <t>R2, R3</t>
  </si>
  <si>
    <t>4,7k</t>
  </si>
  <si>
    <t>R4</t>
  </si>
  <si>
    <t>510</t>
  </si>
  <si>
    <t>R5, R6, R8, R9, R10, R11</t>
  </si>
  <si>
    <t>470</t>
  </si>
  <si>
    <t>R7</t>
  </si>
  <si>
    <t>0</t>
  </si>
  <si>
    <t>R13, R16, R19</t>
  </si>
  <si>
    <t>680</t>
  </si>
  <si>
    <t>R14, R17, R20</t>
  </si>
  <si>
    <t>470k</t>
  </si>
  <si>
    <t>R15, R18, R21</t>
  </si>
  <si>
    <t>USB_B</t>
  </si>
  <si>
    <t>XS1</t>
  </si>
  <si>
    <t>USB mini B 10033526-N3212LF</t>
  </si>
  <si>
    <t>SWD</t>
  </si>
  <si>
    <t>XS2</t>
  </si>
  <si>
    <t>PLS-4</t>
  </si>
  <si>
    <t>XS3</t>
  </si>
  <si>
    <t>ZIF 14P socket</t>
  </si>
  <si>
    <t>Кварцевый резонатор</t>
  </si>
  <si>
    <t>Конденсатор</t>
  </si>
  <si>
    <t>Стабилизатор напряжения</t>
  </si>
  <si>
    <t>Операционный усилитель</t>
  </si>
  <si>
    <t>Микроконтроллер</t>
  </si>
  <si>
    <t>Светодиод</t>
  </si>
  <si>
    <t>Резистор</t>
  </si>
  <si>
    <t>Разъём</t>
  </si>
  <si>
    <t>Раздел</t>
  </si>
  <si>
    <t>Название</t>
  </si>
  <si>
    <t>Бренд</t>
  </si>
  <si>
    <t>SJK</t>
  </si>
  <si>
    <t>Murata Electronics</t>
  </si>
  <si>
    <t>ROYALOHM</t>
  </si>
  <si>
    <t>G-nor Electronics</t>
  </si>
  <si>
    <t>Корпус</t>
  </si>
  <si>
    <t xml:space="preserve">STM32F103C8T6 </t>
  </si>
  <si>
    <t>LQFP-48</t>
  </si>
  <si>
    <t>SOIC-14</t>
  </si>
  <si>
    <t>0603</t>
  </si>
  <si>
    <t>1206</t>
  </si>
  <si>
    <t>ZIF 14P</t>
  </si>
  <si>
    <t>SOT-223</t>
  </si>
  <si>
    <t>AMS1117-3.3 1А 3.3В</t>
  </si>
  <si>
    <t>Connfly electronic</t>
  </si>
  <si>
    <t>Страна</t>
  </si>
  <si>
    <t>5032</t>
  </si>
  <si>
    <t>Китай</t>
  </si>
  <si>
    <t>Япония</t>
  </si>
  <si>
    <t xml:space="preserve">STMicroelectronics </t>
  </si>
  <si>
    <t>Нидерланды</t>
  </si>
  <si>
    <t>UTD Semiconductor Co.</t>
  </si>
  <si>
    <t>Fullname</t>
  </si>
  <si>
    <t>7I 8МГц 16пФ</t>
  </si>
  <si>
    <t>0.1мк 50В 0.5%</t>
  </si>
  <si>
    <t>10мк 50В 0.5%</t>
  </si>
  <si>
    <t>1мк 50В 0.5%</t>
  </si>
  <si>
    <t>22мк 50В 0.5%</t>
  </si>
  <si>
    <t>22п 50В 0.5%</t>
  </si>
  <si>
    <t>10к 0,25Вт 1%</t>
  </si>
  <si>
    <t>20 0,25Вт 1%</t>
  </si>
  <si>
    <t>4,7k 0,25Вт 1%</t>
  </si>
  <si>
    <t>470 0,25Вт 1%</t>
  </si>
  <si>
    <t>470k 0,25Вт 1%</t>
  </si>
  <si>
    <t>510 0,25Вт 1%</t>
  </si>
  <si>
    <t>680 0,25Вт 1%</t>
  </si>
  <si>
    <t>Тайвань</t>
  </si>
  <si>
    <t>Mini USB type-B DS1104</t>
  </si>
  <si>
    <t>LMV324IDR 1МГц</t>
  </si>
  <si>
    <t>HL1</t>
  </si>
  <si>
    <t>HL3</t>
  </si>
  <si>
    <t>HL2, HL4, HL5, HL6</t>
  </si>
  <si>
    <t>Зелёный</t>
  </si>
  <si>
    <t>Синий</t>
  </si>
  <si>
    <t>Красный</t>
  </si>
  <si>
    <t>0 0,25Вт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</si>
</sst>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topLeftCell="B1" zoomScale="86" workbookViewId="0">
      <selection activeCell="J22" sqref="J22"/>
    </sheetView>
  </sheetViews>
  <sheetFormatPr defaultRowHeight="14.4" x14ac:dyDescent="0.3"/>
  <cols>
    <col min="1" max="2" width="19" customWidth="1"/>
    <col min="3" max="3" width="24.44140625" bestFit="1" customWidth="1"/>
    <col min="4" max="4" width="31.88671875" customWidth="1"/>
    <col min="5" max="5" width="12" bestFit="1" customWidth="1"/>
    <col min="6" max="6" width="26.109375" bestFit="1" customWidth="1"/>
    <col min="7" max="7" width="11.44140625" bestFit="1" customWidth="1"/>
    <col min="8" max="8" width="54.109375" bestFit="1" customWidth="1"/>
    <col min="9" max="9" width="19" style="6" customWidth="1"/>
    <col min="10" max="10" width="25.77734375" bestFit="1" customWidth="1"/>
  </cols>
  <sheetData>
    <row r="1" spans="1:10" s="7" customFormat="1" x14ac:dyDescent="0.3">
      <c r="A1" s="4" t="s">
        <v>0</v>
      </c>
      <c r="B1" s="4" t="s">
        <v>2</v>
      </c>
      <c r="C1" s="4" t="s">
        <v>62</v>
      </c>
      <c r="D1" s="4" t="s">
        <v>64</v>
      </c>
      <c r="E1" s="4" t="s">
        <v>79</v>
      </c>
      <c r="F1" s="4" t="s">
        <v>63</v>
      </c>
      <c r="G1" s="4" t="s">
        <v>69</v>
      </c>
      <c r="H1" s="4" t="s">
        <v>86</v>
      </c>
      <c r="I1" s="4" t="s">
        <v>3</v>
      </c>
      <c r="J1" s="4" t="s">
        <v>1</v>
      </c>
    </row>
    <row r="2" spans="1:10" x14ac:dyDescent="0.3">
      <c r="A2" s="2" t="s">
        <v>4</v>
      </c>
      <c r="B2" s="2" t="s">
        <v>6</v>
      </c>
      <c r="C2" s="3" t="s">
        <v>54</v>
      </c>
      <c r="D2" s="1" t="s">
        <v>65</v>
      </c>
      <c r="E2" s="1" t="s">
        <v>81</v>
      </c>
      <c r="F2" s="1" t="s">
        <v>87</v>
      </c>
      <c r="G2" s="2" t="s">
        <v>80</v>
      </c>
      <c r="H2" s="1" t="str">
        <f>CONCATENATE(F2," ",G2," (",D2,", ",E2,")")</f>
        <v>7I 8МГц 16пФ 5032 (SJK, Китай)</v>
      </c>
      <c r="I2" s="5">
        <v>1</v>
      </c>
      <c r="J2" s="2" t="s">
        <v>5</v>
      </c>
    </row>
    <row r="3" spans="1:10" x14ac:dyDescent="0.3">
      <c r="A3" s="2" t="s">
        <v>7</v>
      </c>
      <c r="B3" s="2" t="s">
        <v>9</v>
      </c>
      <c r="C3" s="3" t="s">
        <v>55</v>
      </c>
      <c r="D3" s="1" t="s">
        <v>66</v>
      </c>
      <c r="E3" s="1" t="s">
        <v>82</v>
      </c>
      <c r="F3" s="2" t="s">
        <v>89</v>
      </c>
      <c r="G3" s="2" t="s">
        <v>73</v>
      </c>
      <c r="H3" s="1" t="str">
        <f>CONCATENATE(F3," ",G3," (",D3,", ",E3,")")</f>
        <v>10мк 50В 0.5% 0603 (Murata Electronics, Япония)</v>
      </c>
      <c r="I3" s="5">
        <v>2</v>
      </c>
      <c r="J3" s="2" t="s">
        <v>8</v>
      </c>
    </row>
    <row r="4" spans="1:10" x14ac:dyDescent="0.3">
      <c r="A4" s="2" t="s">
        <v>10</v>
      </c>
      <c r="B4" s="2" t="s">
        <v>9</v>
      </c>
      <c r="C4" s="3" t="s">
        <v>55</v>
      </c>
      <c r="D4" s="1" t="s">
        <v>66</v>
      </c>
      <c r="E4" s="1" t="s">
        <v>82</v>
      </c>
      <c r="F4" s="2" t="s">
        <v>90</v>
      </c>
      <c r="G4" s="2" t="s">
        <v>73</v>
      </c>
      <c r="H4" s="1" t="str">
        <f>CONCATENATE(F4," ",G4," (",D4,", ",E4,")")</f>
        <v>1мк 50В 0.5% 0603 (Murata Electronics, Япония)</v>
      </c>
      <c r="I4" s="5">
        <v>2</v>
      </c>
      <c r="J4" s="2" t="s">
        <v>11</v>
      </c>
    </row>
    <row r="5" spans="1:10" x14ac:dyDescent="0.3">
      <c r="A5" s="2" t="s">
        <v>12</v>
      </c>
      <c r="B5" s="2" t="s">
        <v>9</v>
      </c>
      <c r="C5" s="3" t="s">
        <v>55</v>
      </c>
      <c r="D5" s="1" t="s">
        <v>66</v>
      </c>
      <c r="E5" s="1" t="s">
        <v>82</v>
      </c>
      <c r="F5" s="2" t="s">
        <v>88</v>
      </c>
      <c r="G5" s="2" t="s">
        <v>73</v>
      </c>
      <c r="H5" s="1" t="str">
        <f>CONCATENATE(F5," ",G5," (",D5,", ",E5,")")</f>
        <v>0.1мк 50В 0.5% 0603 (Murata Electronics, Япония)</v>
      </c>
      <c r="I5" s="5">
        <v>6</v>
      </c>
      <c r="J5" s="2" t="s">
        <v>13</v>
      </c>
    </row>
    <row r="6" spans="1:10" x14ac:dyDescent="0.3">
      <c r="A6" s="2" t="s">
        <v>14</v>
      </c>
      <c r="B6" s="2" t="s">
        <v>9</v>
      </c>
      <c r="C6" s="3" t="s">
        <v>55</v>
      </c>
      <c r="D6" s="1" t="s">
        <v>66</v>
      </c>
      <c r="E6" s="1" t="s">
        <v>82</v>
      </c>
      <c r="F6" s="2" t="s">
        <v>91</v>
      </c>
      <c r="G6" s="2" t="s">
        <v>73</v>
      </c>
      <c r="H6" s="1" t="str">
        <f>CONCATENATE(F6," ",G6," (",D6,", ",E6,")")</f>
        <v>22мк 50В 0.5% 0603 (Murata Electronics, Япония)</v>
      </c>
      <c r="I6" s="5">
        <v>1</v>
      </c>
      <c r="J6" s="2" t="s">
        <v>15</v>
      </c>
    </row>
    <row r="7" spans="1:10" x14ac:dyDescent="0.3">
      <c r="A7" s="2" t="s">
        <v>16</v>
      </c>
      <c r="B7" s="2" t="s">
        <v>9</v>
      </c>
      <c r="C7" s="3" t="s">
        <v>55</v>
      </c>
      <c r="D7" s="1" t="s">
        <v>66</v>
      </c>
      <c r="E7" s="1" t="s">
        <v>82</v>
      </c>
      <c r="F7" s="2" t="s">
        <v>92</v>
      </c>
      <c r="G7" s="2" t="s">
        <v>73</v>
      </c>
      <c r="H7" s="1" t="str">
        <f>CONCATENATE(F7," ",G7," (",D7,", ",E7,")")</f>
        <v>22п 50В 0.5% 0603 (Murata Electronics, Япония)</v>
      </c>
      <c r="I7" s="5">
        <v>2</v>
      </c>
      <c r="J7" s="2" t="s">
        <v>17</v>
      </c>
    </row>
    <row r="8" spans="1:10" x14ac:dyDescent="0.3">
      <c r="A8" s="2" t="s">
        <v>18</v>
      </c>
      <c r="B8" s="2" t="s">
        <v>20</v>
      </c>
      <c r="C8" s="3" t="s">
        <v>56</v>
      </c>
      <c r="D8" s="1" t="s">
        <v>85</v>
      </c>
      <c r="E8" s="1" t="s">
        <v>81</v>
      </c>
      <c r="F8" s="1" t="s">
        <v>77</v>
      </c>
      <c r="G8" s="1" t="s">
        <v>76</v>
      </c>
      <c r="H8" s="1" t="str">
        <f>CONCATENATE(F8," ",G8," (",D8,", ",E8,")")</f>
        <v>AMS1117-3.3 1А 3.3В SOT-223 (UTD Semiconductor Co., Китай)</v>
      </c>
      <c r="I8" s="5">
        <v>1</v>
      </c>
      <c r="J8" s="2" t="s">
        <v>19</v>
      </c>
    </row>
    <row r="9" spans="1:10" x14ac:dyDescent="0.3">
      <c r="A9" s="2" t="s">
        <v>21</v>
      </c>
      <c r="B9" s="2" t="s">
        <v>23</v>
      </c>
      <c r="C9" s="3" t="s">
        <v>57</v>
      </c>
      <c r="D9" s="1" t="s">
        <v>85</v>
      </c>
      <c r="E9" s="1" t="s">
        <v>81</v>
      </c>
      <c r="F9" s="1" t="s">
        <v>102</v>
      </c>
      <c r="G9" s="1" t="s">
        <v>72</v>
      </c>
      <c r="H9" s="1" t="str">
        <f>CONCATENATE(F9," ",G9," (",D9,", ",E9,")")</f>
        <v>LMV324IDR 1МГц SOIC-14 (UTD Semiconductor Co., Китай)</v>
      </c>
      <c r="I9" s="5">
        <v>1</v>
      </c>
      <c r="J9" s="2" t="s">
        <v>22</v>
      </c>
    </row>
    <row r="10" spans="1:10" x14ac:dyDescent="0.3">
      <c r="A10" s="2" t="s">
        <v>24</v>
      </c>
      <c r="B10" s="2" t="s">
        <v>26</v>
      </c>
      <c r="C10" s="3" t="s">
        <v>58</v>
      </c>
      <c r="D10" s="1" t="s">
        <v>83</v>
      </c>
      <c r="E10" s="1" t="s">
        <v>84</v>
      </c>
      <c r="F10" s="2" t="s">
        <v>70</v>
      </c>
      <c r="G10" s="1" t="s">
        <v>71</v>
      </c>
      <c r="H10" s="1" t="str">
        <f>CONCATENATE(F10," ",G10," (",D10,", ",E10,")")</f>
        <v>STM32F103C8T6  LQFP-48 (STMicroelectronics , Нидерланды)</v>
      </c>
      <c r="I10" s="5">
        <v>1</v>
      </c>
      <c r="J10" s="2" t="s">
        <v>25</v>
      </c>
    </row>
    <row r="11" spans="1:10" x14ac:dyDescent="0.3">
      <c r="A11" s="2" t="s">
        <v>27</v>
      </c>
      <c r="B11" s="2" t="s">
        <v>28</v>
      </c>
      <c r="C11" s="3" t="s">
        <v>59</v>
      </c>
      <c r="D11" s="1" t="s">
        <v>68</v>
      </c>
      <c r="E11" s="1" t="s">
        <v>81</v>
      </c>
      <c r="F11" s="1" t="s">
        <v>106</v>
      </c>
      <c r="G11" s="2" t="s">
        <v>74</v>
      </c>
      <c r="H11" s="1" t="str">
        <f>CONCATENATE(F11," ",G11," (",D11,", ",E11,")")</f>
        <v>Зелёный 1206 (G-nor Electronics, Китай)</v>
      </c>
      <c r="I11" s="5">
        <v>1</v>
      </c>
      <c r="J11" s="2" t="s">
        <v>103</v>
      </c>
    </row>
    <row r="12" spans="1:10" x14ac:dyDescent="0.3">
      <c r="A12" s="2" t="s">
        <v>27</v>
      </c>
      <c r="B12" s="2" t="s">
        <v>28</v>
      </c>
      <c r="C12" s="3" t="s">
        <v>59</v>
      </c>
      <c r="D12" s="1" t="s">
        <v>68</v>
      </c>
      <c r="E12" s="1" t="s">
        <v>81</v>
      </c>
      <c r="F12" s="1" t="s">
        <v>107</v>
      </c>
      <c r="G12" s="2" t="s">
        <v>74</v>
      </c>
      <c r="H12" s="1" t="str">
        <f>CONCATENATE(F12," ",G12," (",D12,", ",E12,")")</f>
        <v>Синий 1206 (G-nor Electronics, Китай)</v>
      </c>
      <c r="I12" s="5">
        <v>4</v>
      </c>
      <c r="J12" s="2" t="s">
        <v>105</v>
      </c>
    </row>
    <row r="13" spans="1:10" x14ac:dyDescent="0.3">
      <c r="A13" s="2" t="s">
        <v>27</v>
      </c>
      <c r="B13" s="2" t="s">
        <v>28</v>
      </c>
      <c r="C13" s="3" t="s">
        <v>59</v>
      </c>
      <c r="D13" s="1" t="s">
        <v>68</v>
      </c>
      <c r="E13" s="1" t="s">
        <v>81</v>
      </c>
      <c r="F13" s="1" t="s">
        <v>108</v>
      </c>
      <c r="G13" s="2" t="s">
        <v>74</v>
      </c>
      <c r="H13" s="1" t="str">
        <f>CONCATENATE(F13," ",G13," (",D13,", ",E13,")")</f>
        <v>Красный 1206 (G-nor Electronics, Китай)</v>
      </c>
      <c r="I13" s="5">
        <v>1</v>
      </c>
      <c r="J13" s="2" t="s">
        <v>104</v>
      </c>
    </row>
    <row r="14" spans="1:10" x14ac:dyDescent="0.3">
      <c r="A14" s="2" t="s">
        <v>29</v>
      </c>
      <c r="B14" s="2" t="s">
        <v>31</v>
      </c>
      <c r="C14" s="3" t="s">
        <v>60</v>
      </c>
      <c r="D14" s="1" t="s">
        <v>67</v>
      </c>
      <c r="E14" s="1" t="s">
        <v>100</v>
      </c>
      <c r="F14" s="2" t="s">
        <v>93</v>
      </c>
      <c r="G14" s="2" t="s">
        <v>74</v>
      </c>
      <c r="H14" s="1" t="str">
        <f>CONCATENATE(F14," ",G14," (",D14,", ",E14,")")</f>
        <v>10к 0,25Вт 1% 1206 (ROYALOHM, Тайвань)</v>
      </c>
      <c r="I14" s="5">
        <v>2</v>
      </c>
      <c r="J14" s="2" t="s">
        <v>30</v>
      </c>
    </row>
    <row r="15" spans="1:10" x14ac:dyDescent="0.3">
      <c r="A15" s="2" t="s">
        <v>40</v>
      </c>
      <c r="B15" s="2" t="s">
        <v>31</v>
      </c>
      <c r="C15" s="3" t="s">
        <v>60</v>
      </c>
      <c r="D15" s="1" t="s">
        <v>67</v>
      </c>
      <c r="E15" s="1" t="s">
        <v>100</v>
      </c>
      <c r="F15" s="2" t="s">
        <v>109</v>
      </c>
      <c r="G15" s="2" t="s">
        <v>74</v>
      </c>
      <c r="H15" s="1" t="str">
        <f>CONCATENATE(F15," ",G15," (",D15,", ",E15,")")</f>
        <v>0 0,25Вт 1206 (ROYALOHM, Тайвань)</v>
      </c>
      <c r="I15" s="5">
        <v>3</v>
      </c>
      <c r="J15" s="2" t="s">
        <v>41</v>
      </c>
    </row>
    <row r="16" spans="1:10" x14ac:dyDescent="0.3">
      <c r="A16" s="2" t="s">
        <v>42</v>
      </c>
      <c r="B16" s="2" t="s">
        <v>31</v>
      </c>
      <c r="C16" s="3" t="s">
        <v>60</v>
      </c>
      <c r="D16" s="1" t="s">
        <v>67</v>
      </c>
      <c r="E16" s="1" t="s">
        <v>100</v>
      </c>
      <c r="F16" s="2" t="s">
        <v>99</v>
      </c>
      <c r="G16" s="2" t="s">
        <v>74</v>
      </c>
      <c r="H16" s="1" t="str">
        <f>CONCATENATE(F16," ",G16," (",D16,", ",E16,")")</f>
        <v>680 0,25Вт 1% 1206 (ROYALOHM, Тайвань)</v>
      </c>
      <c r="I16" s="5">
        <v>3</v>
      </c>
      <c r="J16" s="2" t="s">
        <v>43</v>
      </c>
    </row>
    <row r="17" spans="1:10" x14ac:dyDescent="0.3">
      <c r="A17" s="2" t="s">
        <v>44</v>
      </c>
      <c r="B17" s="2" t="s">
        <v>31</v>
      </c>
      <c r="C17" s="3" t="s">
        <v>60</v>
      </c>
      <c r="D17" s="1" t="s">
        <v>67</v>
      </c>
      <c r="E17" s="1" t="s">
        <v>100</v>
      </c>
      <c r="F17" s="2" t="s">
        <v>97</v>
      </c>
      <c r="G17" s="2" t="s">
        <v>74</v>
      </c>
      <c r="H17" s="1" t="str">
        <f>CONCATENATE(F17," ",G17," (",D17,", ",E17,")")</f>
        <v>470k 0,25Вт 1% 1206 (ROYALOHM, Тайвань)</v>
      </c>
      <c r="I17" s="5">
        <v>3</v>
      </c>
      <c r="J17" s="2" t="s">
        <v>45</v>
      </c>
    </row>
    <row r="18" spans="1:10" x14ac:dyDescent="0.3">
      <c r="A18" s="2" t="s">
        <v>32</v>
      </c>
      <c r="B18" s="2" t="s">
        <v>31</v>
      </c>
      <c r="C18" s="3" t="s">
        <v>60</v>
      </c>
      <c r="D18" s="1" t="s">
        <v>67</v>
      </c>
      <c r="E18" s="1" t="s">
        <v>100</v>
      </c>
      <c r="F18" s="2" t="s">
        <v>94</v>
      </c>
      <c r="G18" s="2" t="s">
        <v>74</v>
      </c>
      <c r="H18" s="1" t="str">
        <f>CONCATENATE(F18," ",G18," (",D18,", ",E18,")")</f>
        <v>20 0,25Вт 1% 1206 (ROYALOHM, Тайвань)</v>
      </c>
      <c r="I18" s="5">
        <v>2</v>
      </c>
      <c r="J18" s="2" t="s">
        <v>33</v>
      </c>
    </row>
    <row r="19" spans="1:10" x14ac:dyDescent="0.3">
      <c r="A19" s="2" t="s">
        <v>34</v>
      </c>
      <c r="B19" s="2" t="s">
        <v>31</v>
      </c>
      <c r="C19" s="3" t="s">
        <v>60</v>
      </c>
      <c r="D19" s="1" t="s">
        <v>67</v>
      </c>
      <c r="E19" s="1" t="s">
        <v>100</v>
      </c>
      <c r="F19" s="2" t="s">
        <v>95</v>
      </c>
      <c r="G19" s="2" t="s">
        <v>74</v>
      </c>
      <c r="H19" s="1" t="str">
        <f>CONCATENATE(F19," ",G19," (",D19,", ",E19,")")</f>
        <v>4,7k 0,25Вт 1% 1206 (ROYALOHM, Тайвань)</v>
      </c>
      <c r="I19" s="5">
        <v>1</v>
      </c>
      <c r="J19" s="2" t="s">
        <v>35</v>
      </c>
    </row>
    <row r="20" spans="1:10" x14ac:dyDescent="0.3">
      <c r="A20" s="2" t="s">
        <v>36</v>
      </c>
      <c r="B20" s="2" t="s">
        <v>31</v>
      </c>
      <c r="C20" s="3" t="s">
        <v>60</v>
      </c>
      <c r="D20" s="1" t="s">
        <v>67</v>
      </c>
      <c r="E20" s="1" t="s">
        <v>100</v>
      </c>
      <c r="F20" s="2" t="s">
        <v>98</v>
      </c>
      <c r="G20" s="2" t="s">
        <v>74</v>
      </c>
      <c r="H20" s="1" t="str">
        <f>CONCATENATE(F20," ",G20," (",D20,", ",E20,")")</f>
        <v>510 0,25Вт 1% 1206 (ROYALOHM, Тайвань)</v>
      </c>
      <c r="I20" s="5">
        <v>6</v>
      </c>
      <c r="J20" s="2" t="s">
        <v>37</v>
      </c>
    </row>
    <row r="21" spans="1:10" x14ac:dyDescent="0.3">
      <c r="A21" s="2" t="s">
        <v>38</v>
      </c>
      <c r="B21" s="2" t="s">
        <v>31</v>
      </c>
      <c r="C21" s="3" t="s">
        <v>60</v>
      </c>
      <c r="D21" s="1" t="s">
        <v>67</v>
      </c>
      <c r="E21" s="1" t="s">
        <v>100</v>
      </c>
      <c r="F21" s="2" t="s">
        <v>96</v>
      </c>
      <c r="G21" s="2" t="s">
        <v>74</v>
      </c>
      <c r="H21" s="1" t="str">
        <f>CONCATENATE(F21," ",G21," (",D21,", ",E21,")")</f>
        <v>470 0,25Вт 1% 1206 (ROYALOHM, Тайвань)</v>
      </c>
      <c r="I21" s="5">
        <v>1</v>
      </c>
      <c r="J21" s="2" t="s">
        <v>39</v>
      </c>
    </row>
    <row r="22" spans="1:10" x14ac:dyDescent="0.3">
      <c r="A22" s="2" t="s">
        <v>46</v>
      </c>
      <c r="B22" s="2" t="s">
        <v>48</v>
      </c>
      <c r="C22" s="3" t="s">
        <v>61</v>
      </c>
      <c r="D22" s="1" t="s">
        <v>78</v>
      </c>
      <c r="E22" s="1" t="s">
        <v>81</v>
      </c>
      <c r="F22" s="1" t="s">
        <v>101</v>
      </c>
      <c r="G22" s="1"/>
      <c r="H22" s="1" t="str">
        <f>CONCATENATE(F22," ",G22," (",D22,", ",E22,")")</f>
        <v>Mini USB type-B DS1104  (Connfly electronic, Китай)</v>
      </c>
      <c r="I22" s="5">
        <v>1</v>
      </c>
      <c r="J22" s="2" t="s">
        <v>47</v>
      </c>
    </row>
    <row r="23" spans="1:10" x14ac:dyDescent="0.3">
      <c r="A23" s="2" t="s">
        <v>49</v>
      </c>
      <c r="B23" s="2" t="s">
        <v>51</v>
      </c>
      <c r="C23" s="3" t="s">
        <v>61</v>
      </c>
      <c r="D23" s="1" t="s">
        <v>78</v>
      </c>
      <c r="E23" s="1" t="s">
        <v>81</v>
      </c>
      <c r="F23" s="2" t="s">
        <v>51</v>
      </c>
      <c r="G23" s="1"/>
      <c r="H23" s="1" t="str">
        <f>CONCATENATE(F23," ",G23," (",D23,", ",E23,")")</f>
        <v>PLS-4  (Connfly electronic, Китай)</v>
      </c>
      <c r="I23" s="5">
        <v>1</v>
      </c>
      <c r="J23" s="2" t="s">
        <v>50</v>
      </c>
    </row>
    <row r="24" spans="1:10" x14ac:dyDescent="0.3">
      <c r="A24" s="2" t="s">
        <v>52</v>
      </c>
      <c r="B24" s="2" t="s">
        <v>53</v>
      </c>
      <c r="C24" s="3" t="s">
        <v>61</v>
      </c>
      <c r="D24" s="1" t="s">
        <v>78</v>
      </c>
      <c r="E24" s="1" t="s">
        <v>81</v>
      </c>
      <c r="F24" s="2" t="s">
        <v>75</v>
      </c>
      <c r="G24" s="1"/>
      <c r="H24" s="1" t="str">
        <f>CONCATENATE(F24," ",G24," (",D24,", ",E24,")")</f>
        <v>ZIF 14P  (Connfly electronic, Китай)</v>
      </c>
      <c r="I24" s="5">
        <v>1</v>
      </c>
      <c r="J24" s="2" t="s">
        <v>52</v>
      </c>
    </row>
  </sheetData>
  <autoFilter ref="A1:J24">
    <sortState ref="A2:J24">
      <sortCondition ref="J1:J2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BOM</vt:lpstr>
      <vt:lpstr>Лист1</vt:lpstr>
      <vt:lpstr>BOM!Заголовки_для_печати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Naumov</dc:creator>
  <cp:lastModifiedBy>Naumov</cp:lastModifiedBy>
  <dcterms:created xsi:type="dcterms:W3CDTF">2025-03-12T12:00:56Z</dcterms:created>
  <dcterms:modified xsi:type="dcterms:W3CDTF">2025-03-12T19:16:53Z</dcterms:modified>
</cp:coreProperties>
</file>